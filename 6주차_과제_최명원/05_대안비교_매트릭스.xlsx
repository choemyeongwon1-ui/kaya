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inky\OneDrive\Desktop\3학년 2학기\스마트도시계획\6주차_과제\"/>
    </mc:Choice>
  </mc:AlternateContent>
  <xr:revisionPtr revIDLastSave="0" documentId="13_ncr:1_{2B0FAB66-C45C-417B-BB9E-5D3CF2BF62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읽어보기" sheetId="1" r:id="rId1"/>
    <sheet name="지표·가중치" sheetId="2" r:id="rId2"/>
    <sheet name="지표값" sheetId="3" r:id="rId3"/>
    <sheet name="채점·총점" sheetId="4" r:id="rId4"/>
    <sheet name="역전점" sheetId="5" r:id="rId5"/>
    <sheet name="배분 3안" sheetId="6" r:id="rId6"/>
    <sheet name="지표6" sheetId="7" r:id="rId7"/>
    <sheet name="4축표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A7" i="5"/>
  <c r="B6" i="5"/>
  <c r="A6" i="5"/>
  <c r="B5" i="5"/>
  <c r="A5" i="5"/>
  <c r="B4" i="5"/>
  <c r="A4" i="5"/>
  <c r="B3" i="5"/>
  <c r="A3" i="5"/>
  <c r="B2" i="5"/>
  <c r="A2" i="5"/>
  <c r="E7" i="4"/>
  <c r="D7" i="4"/>
  <c r="C7" i="4"/>
  <c r="B7" i="4"/>
  <c r="A7" i="4"/>
  <c r="E6" i="4"/>
  <c r="D6" i="4"/>
  <c r="G6" i="4" s="1"/>
  <c r="C6" i="4"/>
  <c r="B6" i="4"/>
  <c r="H6" i="4" s="1"/>
  <c r="A6" i="4"/>
  <c r="E5" i="4"/>
  <c r="D5" i="4"/>
  <c r="G5" i="4" s="1"/>
  <c r="C5" i="4"/>
  <c r="B5" i="4"/>
  <c r="H5" i="4" s="1"/>
  <c r="A5" i="4"/>
  <c r="E4" i="4"/>
  <c r="D4" i="4"/>
  <c r="C4" i="4"/>
  <c r="B4" i="4"/>
  <c r="A4" i="4"/>
  <c r="E3" i="4"/>
  <c r="D3" i="4"/>
  <c r="G3" i="4" s="1"/>
  <c r="C3" i="4"/>
  <c r="B3" i="4"/>
  <c r="A3" i="4"/>
  <c r="E2" i="4"/>
  <c r="D2" i="4"/>
  <c r="C2" i="4"/>
  <c r="B2" i="4"/>
  <c r="F2" i="4" s="1"/>
  <c r="A2" i="4"/>
  <c r="F8" i="2"/>
  <c r="G8" i="2" s="1"/>
  <c r="H7" i="4" l="1"/>
  <c r="G7" i="4"/>
  <c r="G2" i="4"/>
  <c r="F3" i="4"/>
  <c r="C8" i="4"/>
  <c r="H4" i="4"/>
  <c r="F7" i="4"/>
  <c r="E8" i="4"/>
  <c r="H3" i="4"/>
  <c r="H2" i="4"/>
  <c r="D8" i="4"/>
  <c r="D9" i="4" s="1"/>
  <c r="F4" i="4"/>
  <c r="G4" i="4"/>
  <c r="F5" i="4"/>
  <c r="F6" i="4"/>
  <c r="E9" i="4" l="1"/>
  <c r="C9" i="4"/>
  <c r="D4" i="5" l="1"/>
  <c r="F4" i="5" s="1"/>
  <c r="C4" i="5"/>
  <c r="D7" i="5"/>
  <c r="F7" i="5" s="1"/>
  <c r="C7" i="5"/>
  <c r="D3" i="5"/>
  <c r="F3" i="5" s="1"/>
  <c r="C3" i="5"/>
  <c r="D6" i="5"/>
  <c r="F6" i="5" s="1"/>
  <c r="C6" i="5"/>
  <c r="D2" i="5"/>
  <c r="F2" i="5" s="1"/>
  <c r="C2" i="5"/>
  <c r="C11" i="4"/>
  <c r="C12" i="4"/>
  <c r="D5" i="5"/>
  <c r="F5" i="5" s="1"/>
  <c r="C5" i="5"/>
  <c r="E5" i="5" l="1"/>
  <c r="G5" i="5" s="1"/>
  <c r="H5" i="5" s="1"/>
  <c r="E2" i="5"/>
  <c r="G2" i="5" s="1"/>
  <c r="H2" i="5" s="1"/>
  <c r="E6" i="5"/>
  <c r="G6" i="5" s="1"/>
  <c r="H6" i="5" s="1"/>
  <c r="E3" i="5"/>
  <c r="G3" i="5" s="1"/>
  <c r="H3" i="5" s="1"/>
  <c r="E7" i="5"/>
  <c r="G7" i="5" s="1"/>
  <c r="H7" i="5" s="1"/>
  <c r="E4" i="5"/>
  <c r="G4" i="5" s="1"/>
  <c r="H4" i="5" s="1"/>
</calcChain>
</file>

<file path=xl/sharedStrings.xml><?xml version="1.0" encoding="utf-8"?>
<sst xmlns="http://schemas.openxmlformats.org/spreadsheetml/2006/main" count="333" uniqueCount="181">
  <si>
    <t>6주차 과제 — 대안 비교 매트릭스 원본 (창신초 반경 400 m · 배분 대안 3안)</t>
  </si>
  <si>
    <t>작성 순서(6주차 59쪽): ① 지표 확정 → ② 가중치(합 1.00) → ③ 교수자 승인 → ④ 채점(5점 척도) → ⑤ 역전점 검증</t>
  </si>
  <si>
    <t>현재 상태: 지표·가중치는 '가안 — 교수자 승인 대기'. 지표값 계산 전에 04_매트릭스_지표가중치_가안.csv 로 먼저 고정했다.</t>
  </si>
  <si>
    <t>고치는 칸: '지표·가중치' 시트의 노란 칸(가중치)만. 파란 글씨 = 입력값, 검은 글씨 = 수식. 가중치를 바꾸면 점수 합·순위·역전점이 다시 계산된다.</t>
  </si>
  <si>
    <t>점수 규칙(고정 구간): 클수록 좋음 0~20%→1 · 20~40→2 · 40~60→3 · 60~80→4 · 80~100→5 / 작을수록 좋음은 반대.</t>
  </si>
  <si>
    <t>역전점: 한 지표의 가중치 w 만 바꾸고 나머지는 비율대로 줄여 합 1.00 유지 — 1위와 2위 총점이 같아지는 w.</t>
  </si>
  <si>
    <t>자료: 브이월드 2D 데이터 API 2.0(용도지역 LT_C_UQ111~114 · 공원녹지 LT_C_UPISUQ153 · 국가유산 LT_C_UO301 · 교육환경 LT_C_UO101 · 연속지적도 LP_PA_CBND_BUBUN), Copernicus GLO-90 DEM(Open-Meteo), OSM 간선도로·역 — 조회 2026-10-12 · 좌표는 저장하지 않음(지오코더 이용조건)</t>
  </si>
  <si>
    <t>번호</t>
  </si>
  <si>
    <t>국토계획평가 기준</t>
  </si>
  <si>
    <t>지표</t>
  </si>
  <si>
    <t>정의</t>
  </si>
  <si>
    <t>방향</t>
  </si>
  <si>
    <t>가중치</t>
  </si>
  <si>
    <t>근거</t>
  </si>
  <si>
    <t>상태</t>
  </si>
  <si>
    <t>I1</t>
  </si>
  <si>
    <t>① 지역경쟁력</t>
  </si>
  <si>
    <t>일자리 공간 비율</t>
  </si>
  <si>
    <t>배분 대상지(녹지·기반 제외) 중 공업+상업업무 면적 비율(%)</t>
  </si>
  <si>
    <t>클수록 좋음</t>
  </si>
  <si>
    <t>6주차 59쪽 지표 예 '일자리 공간 비율' · 원본 28번(공업 고용 → 주거·상업 파급)</t>
  </si>
  <si>
    <t>가안 — 교수자 승인 대기</t>
  </si>
  <si>
    <t>I2</t>
  </si>
  <si>
    <t>② 지역 간 균형발전</t>
  </si>
  <si>
    <t>주거의 녹지 접근성</t>
  </si>
  <si>
    <t>주거 면적 중 녹지까지 250 m 이내 비율(%)</t>
  </si>
  <si>
    <t>59쪽 '생활권 시설 접근성' · 도시공원법 시행규칙 별표 3 어린이공원 유치거리 250 m(51쪽)</t>
  </si>
  <si>
    <t>I3</t>
  </si>
  <si>
    <t>③ 기간시설 효율성</t>
  </si>
  <si>
    <t>개발용지 간선 접근</t>
  </si>
  <si>
    <t>공업+상업업무 면적 중 간선도로 100 m 이내 비율(%)</t>
  </si>
  <si>
    <t>59쪽 '도로·교통' · 원본 9·17·21번(결절점 상업 · 화물수송 직결)</t>
  </si>
  <si>
    <t>I4</t>
  </si>
  <si>
    <t>④ 자원의 지속가능한 관리</t>
  </si>
  <si>
    <t>공업–주거 인접 충돌</t>
  </si>
  <si>
    <t>공업 면적 중 주거와 50 m 이내로 맞닿은 비율(%) — 공업 없으면 0</t>
  </si>
  <si>
    <t>작을수록 좋음</t>
  </si>
  <si>
    <t>원본 21번(시가지 이격·완충녹지) · 원본 10번(오염시설 이격)</t>
  </si>
  <si>
    <t>I5</t>
  </si>
  <si>
    <t>⑤ 저탄소·친환경</t>
  </si>
  <si>
    <t>주거의 경사 적합</t>
  </si>
  <si>
    <t>주거 면적 중 경사 15% 이하 비율(%) — 지표 ⑥ 기준안</t>
  </si>
  <si>
    <t>59쪽 지표 예 '경사 적합면적(지표 ⑥)' · 원본 19번(주거 10% 권장·25% 한계)</t>
  </si>
  <si>
    <t>I6</t>
  </si>
  <si>
    <t>⑥ 종합계획 정합성</t>
  </si>
  <si>
    <t>현행 용도지역 정합</t>
  </si>
  <si>
    <t>배분 대상지 중 배분 용도가 현행 용도지역과 같은 면적 비율(%) — 주거↔주거지역 · 상업업무↔상업·준주거</t>
  </si>
  <si>
    <t>59쪽 '상위계획 부합 여부' · 국토계획법 제25조①(관리계획의 기본계획 부합)</t>
  </si>
  <si>
    <t>합계</t>
  </si>
  <si>
    <t>A 근린주거형</t>
  </si>
  <si>
    <t>B 일자리형</t>
  </si>
  <si>
    <t>C 절충형</t>
  </si>
  <si>
    <t>단위</t>
  </si>
  <si>
    <t>출처</t>
  </si>
  <si>
    <t>%</t>
  </si>
  <si>
    <t>분석.py — 창신초 반경 400 m 격자 30 m 561점, 2026-10-12</t>
  </si>
  <si>
    <t>A 근린주거형 점수</t>
  </si>
  <si>
    <t>B 일자리형 점수</t>
  </si>
  <si>
    <t>C 절충형 점수</t>
  </si>
  <si>
    <t>A 근린주거형 가중점수</t>
  </si>
  <si>
    <t>B 일자리형 가중점수</t>
  </si>
  <si>
    <t>C 절충형 가중점수</t>
  </si>
  <si>
    <t>총점</t>
  </si>
  <si>
    <t>순위</t>
  </si>
  <si>
    <t>대안</t>
  </si>
  <si>
    <t>1위</t>
  </si>
  <si>
    <t>2위</t>
  </si>
  <si>
    <t>현재 가중치</t>
  </si>
  <si>
    <t>1위 점수</t>
  </si>
  <si>
    <t>2위 점수</t>
  </si>
  <si>
    <t>1위 나머지 평균(B1)</t>
  </si>
  <si>
    <t>2위 나머지 평균(B2)</t>
  </si>
  <si>
    <t>역전 가중치 w*</t>
  </si>
  <si>
    <t>판정</t>
  </si>
  <si>
    <t>계산식: 지표 k 의 가중치를 w 로 바꾸고 나머지를 (1-w)/(1-w_k) 배로 줄이면 대안 총점 = w·s_k + (1-w)·B, B = (현재 총점 - w_k·s_k)/(1-w_k). 1위와 2위 총점이 같아지는 w 가 역전점.</t>
  </si>
  <si>
    <t>용도</t>
  </si>
  <si>
    <t>면적(ha)</t>
  </si>
  <si>
    <t>구성비(%)</t>
  </si>
  <si>
    <t>녹지</t>
  </si>
  <si>
    <t>기반·공공(존치)</t>
  </si>
  <si>
    <t>공업</t>
  </si>
  <si>
    <t>상업업무</t>
  </si>
  <si>
    <t>주거</t>
  </si>
  <si>
    <t>후보지</t>
  </si>
  <si>
    <t>임계값</t>
  </si>
  <si>
    <t>경사 조건 충족(%)</t>
  </si>
  <si>
    <t>경사·향·표고 동시 충족(%)</t>
  </si>
  <si>
    <t>적합면적(ha)</t>
  </si>
  <si>
    <t>향 기준</t>
  </si>
  <si>
    <t>표고 기준</t>
  </si>
  <si>
    <t>DEM</t>
  </si>
  <si>
    <t>표본</t>
  </si>
  <si>
    <t>조회일</t>
  </si>
  <si>
    <t>창신초</t>
  </si>
  <si>
    <t>하한 10%</t>
  </si>
  <si>
    <t>135~225° (북 0° 시계방향)</t>
  </si>
  <si>
    <t>원 안 최저 22 m + 50 m 이내(가정)</t>
  </si>
  <si>
    <t>Copernicus GLO-90 90 m (Open-Meteo Elevation API) — 국토지리정보원 90 m 대용</t>
  </si>
  <si>
    <t>격자 30 m · 561점 · 경사 차분 ±60 m</t>
  </si>
  <si>
    <t>2026-10-12</t>
  </si>
  <si>
    <t>기준안 15%</t>
  </si>
  <si>
    <t>상한 25%</t>
  </si>
  <si>
    <t>종로구청</t>
  </si>
  <si>
    <t>원 안 최저 25 m + 50 m 이내(가정)</t>
  </si>
  <si>
    <t>축</t>
  </si>
  <si>
    <t>요건 문장</t>
  </si>
  <si>
    <t>조회 지표</t>
  </si>
  <si>
    <t>창신초 값</t>
  </si>
  <si>
    <t>창신초 판정</t>
  </si>
  <si>
    <t>종로구청 값</t>
  </si>
  <si>
    <t>종로구청 판정</t>
  </si>
  <si>
    <t>판정 기준(가정)</t>
  </si>
  <si>
    <t>지형</t>
  </si>
  <si>
    <t>급경사·재난위험지대 등 시가화 부적당지를 녹지로 먼저 묶는다</t>
  </si>
  <si>
    <t>원본 13·14번 · 6주차 18쪽</t>
  </si>
  <si>
    <t>경사 25% 초과 면적(%)</t>
  </si>
  <si>
    <t>충족</t>
  </si>
  <si>
    <t>미충족</t>
  </si>
  <si>
    <t>≥10% 충족 · 0 초과 조건부(녹지 후보지 존재 여부)</t>
  </si>
  <si>
    <t>접근성</t>
  </si>
  <si>
    <t>근린주구 생활권 안에서 일상적으로 걸어 이용할 수 있는 거리에 둔다</t>
  </si>
  <si>
    <t>원본 13번 · 도시공원법 시행규칙 별표 3</t>
  </si>
  <si>
    <t>공원·녹지 결정 면적(%)</t>
  </si>
  <si>
    <t>도시공원법 시행규칙 별표 2 — 30만~100만㎡ 부지 9%(충족)·1만~30만㎡ 5%(조건부)</t>
  </si>
  <si>
    <t>주변환경</t>
  </si>
  <si>
    <t>풍치·산림을 보전하고 위험시설과의 사이를 완충한다</t>
  </si>
  <si>
    <t>원본 13·14번 · 도시공원법 제35조</t>
  </si>
  <si>
    <t>문화재보호구역(%)</t>
  </si>
  <si>
    <t>&gt;0 이면 보전 대상 존재(충족)</t>
  </si>
  <si>
    <t>기반시설</t>
  </si>
  <si>
    <t>녹지체계 위계(환상·방사·격자·분산)를 도시 전체와 잇는다</t>
  </si>
  <si>
    <t>원본 13번</t>
  </si>
  <si>
    <t>지표 없음(정성)</t>
  </si>
  <si>
    <t>지표 없음</t>
  </si>
  <si>
    <t>6주차 25쪽 — 측정 불가 낱말은 '지표 없음' 표기</t>
  </si>
  <si>
    <t>유통·대형 시설은 경사 5% 이하 평지에 둔다</t>
  </si>
  <si>
    <t>원본 17번 · 6주차 16쪽</t>
  </si>
  <si>
    <t>경사 5% 이하 면적(%)</t>
  </si>
  <si>
    <t>≥50% 충족 · 20~50% 조건부</t>
  </si>
  <si>
    <t>위계별 교통결절 — 중심은 교통망 집중지, 일반은 간선 교차점, 근린은 주거지 인접</t>
  </si>
  <si>
    <t>원본 9·15~17번 · 6주차 14쪽</t>
  </si>
  <si>
    <t>최근접 도시철도역(m)</t>
  </si>
  <si>
    <t>역 500 m 이내 충족(역세권) · 1,000 m 이내 조건부</t>
  </si>
  <si>
    <t>근린상업은 녹지와 이어 쾌적성을 유지한다</t>
  </si>
  <si>
    <t>원본 17번</t>
  </si>
  <si>
    <t>≥5% 충족</t>
  </si>
  <si>
    <t>배후인구(근린 3~5만 명)와 물류망을 갖춘다</t>
  </si>
  <si>
    <t>원본 16·17번</t>
  </si>
  <si>
    <t>주거지역(%) — 배후 주거</t>
  </si>
  <si>
    <t>≥40% 충족(근린 배후) · 10~40% 조건부</t>
  </si>
  <si>
    <t>경사 4~10%(바람직)·25% 한계, 표고는 기반시설 +50 m 이내</t>
  </si>
  <si>
    <t>원본 19번 · 6주차 16·17쪽</t>
  </si>
  <si>
    <t>경사 10% 이하 면적(%)</t>
  </si>
  <si>
    <t>조건부</t>
  </si>
  <si>
    <t>≥50% 충족 · 25~50% 조건부</t>
  </si>
  <si>
    <t>직장·편익시설에 가깝고 휴식공간·간선도로와 이어진다</t>
  </si>
  <si>
    <t>원본 19번</t>
  </si>
  <si>
    <t>역 500 m 이내 충족</t>
  </si>
  <si>
    <t>오염원에서 떨어지고 남경사지, 녹지·수변과 잇는다</t>
  </si>
  <si>
    <t>남향(향 135~225°) 면적(%)</t>
  </si>
  <si>
    <t>≥30% 충족(남향 ±45°는 전체의 25% — 평균 이상)</t>
  </si>
  <si>
    <t>도로·가스·전기가 이미 깔린 곳(공급망 기구축)</t>
  </si>
  <si>
    <t>도로(지목 '도') 면적(%)</t>
  </si>
  <si>
    <t>≥15% 충족 · 10~15% 조건부(가스·전기는 지표 없음)</t>
  </si>
  <si>
    <t>경사 5% 이하, 최소 규모 이상의 평탄지</t>
  </si>
  <si>
    <t>원본 21번 · 6주차 19쪽</t>
  </si>
  <si>
    <t>화물수송·출퇴근 간선에 직결한다</t>
  </si>
  <si>
    <t>원본 9·21번</t>
  </si>
  <si>
    <t>간선 100 m 이내 면적(%)</t>
  </si>
  <si>
    <t>≥30% 충족</t>
  </si>
  <si>
    <t>시가지와 떨어지고 완충녹지·확장 여지를 확보한다</t>
  </si>
  <si>
    <t>원본 10·21번 · 교육환경보호법 제9조</t>
  </si>
  <si>
    <t>주거지역(%) · 교육환경보호구역(%)</t>
  </si>
  <si>
    <t>90.6 · 65.4</t>
  </si>
  <si>
    <t>3.7 · 5.0</t>
  </si>
  <si>
    <t>주거지역·교육환경보호구역 둘 다 30% 미만이면 충족</t>
  </si>
  <si>
    <t>폐수·폐기물 처리가 쉽고 공업용수·동력을 확보한다</t>
  </si>
  <si>
    <t>원본 21번</t>
  </si>
  <si>
    <t>지표 없음(원 안 처리시설 미조회)</t>
  </si>
  <si>
    <t>미확인</t>
  </si>
  <si>
    <t>하수처리·용수 공급은 원 단위 자료 없음 — 빈칸 + 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</si>
</sst>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8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color rgb="FF008000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305E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2" fontId="5" fillId="3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76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77" fontId="6" fillId="0" borderId="1" xfId="0" applyNumberFormat="1" applyFont="1" applyBorder="1" applyAlignment="1">
      <alignment vertical="top" wrapText="1"/>
    </xf>
    <xf numFmtId="177" fontId="4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7" x14ac:dyDescent="0.45"/>
  <cols>
    <col min="1" max="1" width="150" customWidth="1"/>
  </cols>
  <sheetData>
    <row r="1" spans="1:1" x14ac:dyDescent="0.45">
      <c r="A1" s="1" t="s">
        <v>0</v>
      </c>
    </row>
    <row r="2" spans="1:1" x14ac:dyDescent="0.45">
      <c r="A2" s="2" t="s">
        <v>1</v>
      </c>
    </row>
    <row r="3" spans="1:1" x14ac:dyDescent="0.45">
      <c r="A3" s="2" t="s">
        <v>2</v>
      </c>
    </row>
    <row r="4" spans="1:1" x14ac:dyDescent="0.45">
      <c r="A4" s="2" t="s">
        <v>3</v>
      </c>
    </row>
    <row r="5" spans="1:1" x14ac:dyDescent="0.45">
      <c r="A5" s="2" t="s">
        <v>4</v>
      </c>
    </row>
    <row r="6" spans="1:1" x14ac:dyDescent="0.45">
      <c r="A6" s="2" t="s">
        <v>5</v>
      </c>
    </row>
    <row r="7" spans="1:1" x14ac:dyDescent="0.45">
      <c r="A7" s="2" t="s">
        <v>6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7" x14ac:dyDescent="0.45"/>
  <cols>
    <col min="1" max="1" width="6" customWidth="1"/>
    <col min="2" max="2" width="20" customWidth="1"/>
    <col min="3" max="3" width="22" customWidth="1"/>
    <col min="4" max="4" width="48" customWidth="1"/>
    <col min="5" max="5" width="12" customWidth="1"/>
    <col min="6" max="6" width="9" customWidth="1"/>
    <col min="7" max="7" width="46" customWidth="1"/>
    <col min="8" max="8" width="20" customWidth="1"/>
  </cols>
  <sheetData>
    <row r="1" spans="1:8" x14ac:dyDescent="0.4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spans="1:8" ht="28" x14ac:dyDescent="0.4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0.15</v>
      </c>
      <c r="G2" s="4" t="s">
        <v>20</v>
      </c>
      <c r="H2" s="4" t="s">
        <v>21</v>
      </c>
    </row>
    <row r="3" spans="1:8" ht="28" x14ac:dyDescent="0.45">
      <c r="A3" s="4" t="s">
        <v>22</v>
      </c>
      <c r="B3" s="4" t="s">
        <v>23</v>
      </c>
      <c r="C3" s="4" t="s">
        <v>24</v>
      </c>
      <c r="D3" s="4" t="s">
        <v>25</v>
      </c>
      <c r="E3" s="4" t="s">
        <v>19</v>
      </c>
      <c r="F3" s="5">
        <v>0.2</v>
      </c>
      <c r="G3" s="4" t="s">
        <v>26</v>
      </c>
      <c r="H3" s="4" t="s">
        <v>21</v>
      </c>
    </row>
    <row r="4" spans="1:8" ht="28" x14ac:dyDescent="0.45">
      <c r="A4" s="4" t="s">
        <v>27</v>
      </c>
      <c r="B4" s="4" t="s">
        <v>28</v>
      </c>
      <c r="C4" s="4" t="s">
        <v>29</v>
      </c>
      <c r="D4" s="4" t="s">
        <v>30</v>
      </c>
      <c r="E4" s="4" t="s">
        <v>19</v>
      </c>
      <c r="F4" s="5">
        <v>0.1</v>
      </c>
      <c r="G4" s="4" t="s">
        <v>31</v>
      </c>
      <c r="H4" s="4" t="s">
        <v>21</v>
      </c>
    </row>
    <row r="5" spans="1:8" ht="28" x14ac:dyDescent="0.45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5">
        <v>0.15</v>
      </c>
      <c r="G5" s="4" t="s">
        <v>37</v>
      </c>
      <c r="H5" s="4" t="s">
        <v>21</v>
      </c>
    </row>
    <row r="6" spans="1:8" ht="28" x14ac:dyDescent="0.45">
      <c r="A6" s="4" t="s">
        <v>38</v>
      </c>
      <c r="B6" s="4" t="s">
        <v>39</v>
      </c>
      <c r="C6" s="4" t="s">
        <v>40</v>
      </c>
      <c r="D6" s="4" t="s">
        <v>41</v>
      </c>
      <c r="E6" s="4" t="s">
        <v>19</v>
      </c>
      <c r="F6" s="5">
        <v>0.2</v>
      </c>
      <c r="G6" s="4" t="s">
        <v>42</v>
      </c>
      <c r="H6" s="4" t="s">
        <v>21</v>
      </c>
    </row>
    <row r="7" spans="1:8" ht="28" x14ac:dyDescent="0.45">
      <c r="A7" s="4" t="s">
        <v>43</v>
      </c>
      <c r="B7" s="4" t="s">
        <v>44</v>
      </c>
      <c r="C7" s="4" t="s">
        <v>45</v>
      </c>
      <c r="D7" s="4" t="s">
        <v>46</v>
      </c>
      <c r="E7" s="4" t="s">
        <v>19</v>
      </c>
      <c r="F7" s="5">
        <v>0.2</v>
      </c>
      <c r="G7" s="4" t="s">
        <v>47</v>
      </c>
      <c r="H7" s="4" t="s">
        <v>21</v>
      </c>
    </row>
    <row r="8" spans="1:8" x14ac:dyDescent="0.45">
      <c r="E8" s="6" t="s">
        <v>48</v>
      </c>
      <c r="F8" s="7">
        <f>SUM(F2:F7)</f>
        <v>1</v>
      </c>
      <c r="G8" s="4" t="str">
        <f>IF(ABS(F8-1)&lt;0.0001,"합 1.00 확인","합이 1.00 이 아님 — 가중치 확인")</f>
        <v>합 1.00 확인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7" x14ac:dyDescent="0.45"/>
  <cols>
    <col min="1" max="1" width="10" customWidth="1"/>
    <col min="2" max="4" width="16" customWidth="1"/>
    <col min="5" max="5" width="8" customWidth="1"/>
    <col min="6" max="6" width="60" customWidth="1"/>
  </cols>
  <sheetData>
    <row r="1" spans="1:6" x14ac:dyDescent="0.45">
      <c r="A1" s="3" t="s">
        <v>9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</row>
    <row r="2" spans="1:6" x14ac:dyDescent="0.45">
      <c r="A2" s="4" t="s">
        <v>15</v>
      </c>
      <c r="B2" s="8">
        <v>8.1999999999999993</v>
      </c>
      <c r="C2" s="8">
        <v>36.700000000000003</v>
      </c>
      <c r="D2" s="8">
        <v>9</v>
      </c>
      <c r="E2" s="4" t="s">
        <v>54</v>
      </c>
      <c r="F2" s="4" t="s">
        <v>55</v>
      </c>
    </row>
    <row r="3" spans="1:6" x14ac:dyDescent="0.45">
      <c r="A3" s="4" t="s">
        <v>22</v>
      </c>
      <c r="B3" s="8">
        <v>100</v>
      </c>
      <c r="C3" s="8">
        <v>100</v>
      </c>
      <c r="D3" s="8">
        <v>100</v>
      </c>
      <c r="E3" s="4" t="s">
        <v>54</v>
      </c>
      <c r="F3" s="4" t="s">
        <v>55</v>
      </c>
    </row>
    <row r="4" spans="1:6" x14ac:dyDescent="0.45">
      <c r="A4" s="4" t="s">
        <v>27</v>
      </c>
      <c r="B4" s="8">
        <v>100</v>
      </c>
      <c r="C4" s="8">
        <v>98.9</v>
      </c>
      <c r="D4" s="8">
        <v>100</v>
      </c>
      <c r="E4" s="4" t="s">
        <v>54</v>
      </c>
      <c r="F4" s="4" t="s">
        <v>55</v>
      </c>
    </row>
    <row r="5" spans="1:6" x14ac:dyDescent="0.45">
      <c r="A5" s="4" t="s">
        <v>32</v>
      </c>
      <c r="B5" s="8">
        <v>0</v>
      </c>
      <c r="C5" s="8">
        <v>46.2</v>
      </c>
      <c r="D5" s="8">
        <v>100</v>
      </c>
      <c r="E5" s="4" t="s">
        <v>54</v>
      </c>
      <c r="F5" s="4" t="s">
        <v>55</v>
      </c>
    </row>
    <row r="6" spans="1:6" x14ac:dyDescent="0.45">
      <c r="A6" s="4" t="s">
        <v>38</v>
      </c>
      <c r="B6" s="8">
        <v>64.400000000000006</v>
      </c>
      <c r="C6" s="8">
        <v>48.4</v>
      </c>
      <c r="D6" s="8">
        <v>64.099999999999994</v>
      </c>
      <c r="E6" s="4" t="s">
        <v>54</v>
      </c>
      <c r="F6" s="4" t="s">
        <v>55</v>
      </c>
    </row>
    <row r="7" spans="1:6" x14ac:dyDescent="0.45">
      <c r="A7" s="4" t="s">
        <v>43</v>
      </c>
      <c r="B7" s="8">
        <v>97.6</v>
      </c>
      <c r="C7" s="8">
        <v>71.400000000000006</v>
      </c>
      <c r="D7" s="8">
        <v>96.7</v>
      </c>
      <c r="E7" s="4" t="s">
        <v>54</v>
      </c>
      <c r="F7" s="4" t="s">
        <v>55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7" x14ac:dyDescent="0.45"/>
  <cols>
    <col min="1" max="1" width="10" customWidth="1"/>
    <col min="2" max="2" width="9" customWidth="1"/>
    <col min="3" max="8" width="14" customWidth="1"/>
  </cols>
  <sheetData>
    <row r="1" spans="1:8" ht="28" x14ac:dyDescent="0.45">
      <c r="A1" s="3" t="s">
        <v>9</v>
      </c>
      <c r="B1" s="3" t="s">
        <v>12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</row>
    <row r="2" spans="1:8" x14ac:dyDescent="0.45">
      <c r="A2" s="9" t="str">
        <f>지표·가중치!A2</f>
        <v>I1</v>
      </c>
      <c r="B2" s="10">
        <f>지표·가중치!F2</f>
        <v>0.15</v>
      </c>
      <c r="C2" s="11">
        <f>IF(지표·가중치!E2="클수록 좋음",MIN(5,INT(지표값!B2/20)+1),MAX(1,5-INT(지표값!B2/20)))</f>
        <v>1</v>
      </c>
      <c r="D2" s="11">
        <f>IF(지표·가중치!E2="클수록 좋음",MIN(5,INT(지표값!C2/20)+1),MAX(1,5-INT(지표값!C2/20)))</f>
        <v>2</v>
      </c>
      <c r="E2" s="11">
        <f>IF(지표·가중치!E2="클수록 좋음",MIN(5,INT(지표값!D2/20)+1),MAX(1,5-INT(지표값!D2/20)))</f>
        <v>1</v>
      </c>
      <c r="F2" s="7">
        <f t="shared" ref="F2:H7" si="0">$B2*C2</f>
        <v>0.15</v>
      </c>
      <c r="G2" s="7">
        <f t="shared" si="0"/>
        <v>0.3</v>
      </c>
      <c r="H2" s="7">
        <f t="shared" si="0"/>
        <v>0.15</v>
      </c>
    </row>
    <row r="3" spans="1:8" x14ac:dyDescent="0.45">
      <c r="A3" s="9" t="str">
        <f>지표·가중치!A3</f>
        <v>I2</v>
      </c>
      <c r="B3" s="10">
        <f>지표·가중치!F3</f>
        <v>0.2</v>
      </c>
      <c r="C3" s="11">
        <f>IF(지표·가중치!E3="클수록 좋음",MIN(5,INT(지표값!B3/20)+1),MAX(1,5-INT(지표값!B3/20)))</f>
        <v>5</v>
      </c>
      <c r="D3" s="11">
        <f>IF(지표·가중치!E3="클수록 좋음",MIN(5,INT(지표값!C3/20)+1),MAX(1,5-INT(지표값!C3/20)))</f>
        <v>5</v>
      </c>
      <c r="E3" s="11">
        <f>IF(지표·가중치!E3="클수록 좋음",MIN(5,INT(지표값!D3/20)+1),MAX(1,5-INT(지표값!D3/20)))</f>
        <v>5</v>
      </c>
      <c r="F3" s="7">
        <f t="shared" si="0"/>
        <v>1</v>
      </c>
      <c r="G3" s="7">
        <f t="shared" si="0"/>
        <v>1</v>
      </c>
      <c r="H3" s="7">
        <f t="shared" si="0"/>
        <v>1</v>
      </c>
    </row>
    <row r="4" spans="1:8" x14ac:dyDescent="0.45">
      <c r="A4" s="9" t="str">
        <f>지표·가중치!A4</f>
        <v>I3</v>
      </c>
      <c r="B4" s="10">
        <f>지표·가중치!F4</f>
        <v>0.1</v>
      </c>
      <c r="C4" s="11">
        <f>IF(지표·가중치!E4="클수록 좋음",MIN(5,INT(지표값!B4/20)+1),MAX(1,5-INT(지표값!B4/20)))</f>
        <v>5</v>
      </c>
      <c r="D4" s="11">
        <f>IF(지표·가중치!E4="클수록 좋음",MIN(5,INT(지표값!C4/20)+1),MAX(1,5-INT(지표값!C4/20)))</f>
        <v>5</v>
      </c>
      <c r="E4" s="11">
        <f>IF(지표·가중치!E4="클수록 좋음",MIN(5,INT(지표값!D4/20)+1),MAX(1,5-INT(지표값!D4/20)))</f>
        <v>5</v>
      </c>
      <c r="F4" s="7">
        <f t="shared" si="0"/>
        <v>0.5</v>
      </c>
      <c r="G4" s="7">
        <f t="shared" si="0"/>
        <v>0.5</v>
      </c>
      <c r="H4" s="7">
        <f t="shared" si="0"/>
        <v>0.5</v>
      </c>
    </row>
    <row r="5" spans="1:8" x14ac:dyDescent="0.45">
      <c r="A5" s="9" t="str">
        <f>지표·가중치!A5</f>
        <v>I4</v>
      </c>
      <c r="B5" s="10">
        <f>지표·가중치!F5</f>
        <v>0.15</v>
      </c>
      <c r="C5" s="11">
        <f>IF(지표·가중치!E5="클수록 좋음",MIN(5,INT(지표값!B5/20)+1),MAX(1,5-INT(지표값!B5/20)))</f>
        <v>5</v>
      </c>
      <c r="D5" s="11">
        <f>IF(지표·가중치!E5="클수록 좋음",MIN(5,INT(지표값!C5/20)+1),MAX(1,5-INT(지표값!C5/20)))</f>
        <v>3</v>
      </c>
      <c r="E5" s="11">
        <f>IF(지표·가중치!E5="클수록 좋음",MIN(5,INT(지표값!D5/20)+1),MAX(1,5-INT(지표값!D5/20)))</f>
        <v>1</v>
      </c>
      <c r="F5" s="7">
        <f t="shared" si="0"/>
        <v>0.75</v>
      </c>
      <c r="G5" s="7">
        <f t="shared" si="0"/>
        <v>0.44999999999999996</v>
      </c>
      <c r="H5" s="7">
        <f t="shared" si="0"/>
        <v>0.15</v>
      </c>
    </row>
    <row r="6" spans="1:8" x14ac:dyDescent="0.45">
      <c r="A6" s="9" t="str">
        <f>지표·가중치!A6</f>
        <v>I5</v>
      </c>
      <c r="B6" s="10">
        <f>지표·가중치!F6</f>
        <v>0.2</v>
      </c>
      <c r="C6" s="11">
        <f>IF(지표·가중치!E6="클수록 좋음",MIN(5,INT(지표값!B6/20)+1),MAX(1,5-INT(지표값!B6/20)))</f>
        <v>4</v>
      </c>
      <c r="D6" s="11">
        <f>IF(지표·가중치!E6="클수록 좋음",MIN(5,INT(지표값!C6/20)+1),MAX(1,5-INT(지표값!C6/20)))</f>
        <v>3</v>
      </c>
      <c r="E6" s="11">
        <f>IF(지표·가중치!E6="클수록 좋음",MIN(5,INT(지표값!D6/20)+1),MAX(1,5-INT(지표값!D6/20)))</f>
        <v>4</v>
      </c>
      <c r="F6" s="7">
        <f t="shared" si="0"/>
        <v>0.8</v>
      </c>
      <c r="G6" s="7">
        <f t="shared" si="0"/>
        <v>0.60000000000000009</v>
      </c>
      <c r="H6" s="7">
        <f t="shared" si="0"/>
        <v>0.8</v>
      </c>
    </row>
    <row r="7" spans="1:8" x14ac:dyDescent="0.45">
      <c r="A7" s="9" t="str">
        <f>지표·가중치!A7</f>
        <v>I6</v>
      </c>
      <c r="B7" s="10">
        <f>지표·가중치!F7</f>
        <v>0.2</v>
      </c>
      <c r="C7" s="11">
        <f>IF(지표·가중치!E7="클수록 좋음",MIN(5,INT(지표값!B7/20)+1),MAX(1,5-INT(지표값!B7/20)))</f>
        <v>5</v>
      </c>
      <c r="D7" s="11">
        <f>IF(지표·가중치!E7="클수록 좋음",MIN(5,INT(지표값!C7/20)+1),MAX(1,5-INT(지표값!C7/20)))</f>
        <v>4</v>
      </c>
      <c r="E7" s="11">
        <f>IF(지표·가중치!E7="클수록 좋음",MIN(5,INT(지표값!D7/20)+1),MAX(1,5-INT(지표값!D7/20)))</f>
        <v>5</v>
      </c>
      <c r="F7" s="7">
        <f t="shared" si="0"/>
        <v>1</v>
      </c>
      <c r="G7" s="7">
        <f t="shared" si="0"/>
        <v>0.8</v>
      </c>
      <c r="H7" s="7">
        <f t="shared" si="0"/>
        <v>1</v>
      </c>
    </row>
    <row r="8" spans="1:8" x14ac:dyDescent="0.45">
      <c r="A8" s="6" t="s">
        <v>62</v>
      </c>
      <c r="C8" s="7">
        <f>SUMPRODUCT($B$2:$B$7,C2:C7)</f>
        <v>4.2</v>
      </c>
      <c r="D8" s="7">
        <f>SUMPRODUCT($B$2:$B$7,D2:D7)</f>
        <v>3.6500000000000004</v>
      </c>
      <c r="E8" s="7">
        <f>SUMPRODUCT($B$2:$B$7,E2:E7)</f>
        <v>3.5999999999999996</v>
      </c>
    </row>
    <row r="9" spans="1:8" x14ac:dyDescent="0.45">
      <c r="A9" s="6" t="s">
        <v>63</v>
      </c>
      <c r="C9" s="11">
        <f>RANK(C8,$C$8:$E$8)</f>
        <v>1</v>
      </c>
      <c r="D9" s="11">
        <f>RANK(D8,$C$8:$E$8)</f>
        <v>2</v>
      </c>
      <c r="E9" s="11">
        <f>RANK(E8,$C$8:$E$8)</f>
        <v>3</v>
      </c>
    </row>
    <row r="10" spans="1:8" x14ac:dyDescent="0.45">
      <c r="A10" s="4" t="s">
        <v>64</v>
      </c>
      <c r="C10" s="4" t="s">
        <v>49</v>
      </c>
      <c r="D10" s="4" t="s">
        <v>50</v>
      </c>
      <c r="E10" s="4" t="s">
        <v>51</v>
      </c>
    </row>
    <row r="11" spans="1:8" x14ac:dyDescent="0.45">
      <c r="A11" s="4" t="s">
        <v>65</v>
      </c>
      <c r="C11" s="4" t="str">
        <f>INDEX($C$10:$E$10,MATCH(1,$C$9:$E$9,0))</f>
        <v>A 근린주거형</v>
      </c>
    </row>
    <row r="12" spans="1:8" x14ac:dyDescent="0.45">
      <c r="A12" s="4" t="s">
        <v>66</v>
      </c>
      <c r="C12" s="4" t="str">
        <f>INDEX($C$10:$E$10,MATCH(2,$C$9:$E$9,0))</f>
        <v>B 일자리형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defaultRowHeight="17" x14ac:dyDescent="0.45"/>
  <cols>
    <col min="1" max="1" width="10" customWidth="1"/>
    <col min="2" max="2" width="11" customWidth="1"/>
    <col min="3" max="4" width="10" customWidth="1"/>
    <col min="5" max="6" width="16" customWidth="1"/>
    <col min="7" max="7" width="14" customWidth="1"/>
    <col min="8" max="8" width="46" customWidth="1"/>
  </cols>
  <sheetData>
    <row r="1" spans="1:8" ht="28" x14ac:dyDescent="0.45">
      <c r="A1" s="3" t="s">
        <v>9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</row>
    <row r="2" spans="1:8" x14ac:dyDescent="0.45">
      <c r="A2" s="9" t="str">
        <f>지표·가중치!A2</f>
        <v>I1</v>
      </c>
      <c r="B2" s="12">
        <f>지표·가중치!F2</f>
        <v>0.15</v>
      </c>
      <c r="C2" s="11">
        <f>INDEX(채점·총점!$C2:$E2,MATCH(1,채점·총점!$C$9:$E$9,0))</f>
        <v>1</v>
      </c>
      <c r="D2" s="11">
        <f>INDEX(채점·총점!$C2:$E2,MATCH(2,채점·총점!$C$9:$E$9,0))</f>
        <v>2</v>
      </c>
      <c r="E2" s="13">
        <f>(INDEX(채점·총점!$C$8:$E$8,MATCH(1,채점·총점!$C$9:$E$9,0))-B2*C2)/(1-B2)</f>
        <v>4.7647058823529411</v>
      </c>
      <c r="F2" s="13">
        <f>(INDEX(채점·총점!$C$8:$E$8,MATCH(2,채점·총점!$C$9:$E$9,0))-B2*D2)/(1-B2)</f>
        <v>3.9411764705882359</v>
      </c>
      <c r="G2" s="13">
        <f t="shared" ref="G2:G7" si="0">IF(ABS((C2-E2)-(D2-F2))&lt;0.000001,"",(F2-E2)/((C2-E2)-(D2-F2)))</f>
        <v>0.45161290322580622</v>
      </c>
      <c r="H2" s="4" t="str">
        <f t="shared" ref="H2:H7" si="1">IF(G2="","0~1 범위에서 1·2위 역전 없음",IF(AND(G2&gt;=0,G2&lt;0.999999),"가중치 "&amp;TEXT(G2,"0.000")&amp;IF(G2&gt;B2," 이상이면"," 이하이면")&amp;" 2위가 1위","0~1 범위에서 1·2위 역전 없음"))</f>
        <v>가중치 0.452 이상이면 2위가 1위</v>
      </c>
    </row>
    <row r="3" spans="1:8" x14ac:dyDescent="0.45">
      <c r="A3" s="9" t="str">
        <f>지표·가중치!A3</f>
        <v>I2</v>
      </c>
      <c r="B3" s="12">
        <f>지표·가중치!F3</f>
        <v>0.2</v>
      </c>
      <c r="C3" s="11">
        <f>INDEX(채점·총점!$C3:$E3,MATCH(1,채점·총점!$C$9:$E$9,0))</f>
        <v>5</v>
      </c>
      <c r="D3" s="11">
        <f>INDEX(채점·총점!$C3:$E3,MATCH(2,채점·총점!$C$9:$E$9,0))</f>
        <v>5</v>
      </c>
      <c r="E3" s="13">
        <f>(INDEX(채점·총점!$C$8:$E$8,MATCH(1,채점·총점!$C$9:$E$9,0))-B3*C3)/(1-B3)</f>
        <v>4</v>
      </c>
      <c r="F3" s="13">
        <f>(INDEX(채점·총점!$C$8:$E$8,MATCH(2,채점·총점!$C$9:$E$9,0))-B3*D3)/(1-B3)</f>
        <v>3.3125000000000004</v>
      </c>
      <c r="G3" s="13">
        <f t="shared" si="0"/>
        <v>1</v>
      </c>
      <c r="H3" s="4" t="str">
        <f t="shared" si="1"/>
        <v>0~1 범위에서 1·2위 역전 없음</v>
      </c>
    </row>
    <row r="4" spans="1:8" x14ac:dyDescent="0.45">
      <c r="A4" s="9" t="str">
        <f>지표·가중치!A4</f>
        <v>I3</v>
      </c>
      <c r="B4" s="12">
        <f>지표·가중치!F4</f>
        <v>0.1</v>
      </c>
      <c r="C4" s="11">
        <f>INDEX(채점·총점!$C4:$E4,MATCH(1,채점·총점!$C$9:$E$9,0))</f>
        <v>5</v>
      </c>
      <c r="D4" s="11">
        <f>INDEX(채점·총점!$C4:$E4,MATCH(2,채점·총점!$C$9:$E$9,0))</f>
        <v>5</v>
      </c>
      <c r="E4" s="13">
        <f>(INDEX(채점·총점!$C$8:$E$8,MATCH(1,채점·총점!$C$9:$E$9,0))-B4*C4)/(1-B4)</f>
        <v>4.1111111111111116</v>
      </c>
      <c r="F4" s="13">
        <f>(INDEX(채점·총점!$C$8:$E$8,MATCH(2,채점·총점!$C$9:$E$9,0))-B4*D4)/(1-B4)</f>
        <v>3.5000000000000004</v>
      </c>
      <c r="G4" s="13">
        <f t="shared" si="0"/>
        <v>1</v>
      </c>
      <c r="H4" s="4" t="str">
        <f t="shared" si="1"/>
        <v>0~1 범위에서 1·2위 역전 없음</v>
      </c>
    </row>
    <row r="5" spans="1:8" x14ac:dyDescent="0.45">
      <c r="A5" s="9" t="str">
        <f>지표·가중치!A5</f>
        <v>I4</v>
      </c>
      <c r="B5" s="12">
        <f>지표·가중치!F5</f>
        <v>0.15</v>
      </c>
      <c r="C5" s="11">
        <f>INDEX(채점·총점!$C5:$E5,MATCH(1,채점·총점!$C$9:$E$9,0))</f>
        <v>5</v>
      </c>
      <c r="D5" s="11">
        <f>INDEX(채점·총점!$C5:$E5,MATCH(2,채점·총점!$C$9:$E$9,0))</f>
        <v>3</v>
      </c>
      <c r="E5" s="13">
        <f>(INDEX(채점·총점!$C$8:$E$8,MATCH(1,채점·총점!$C$9:$E$9,0))-B5*C5)/(1-B5)</f>
        <v>4.0588235294117654</v>
      </c>
      <c r="F5" s="13">
        <f>(INDEX(채점·총점!$C$8:$E$8,MATCH(2,채점·총점!$C$9:$E$9,0))-B5*D5)/(1-B5)</f>
        <v>3.7647058823529416</v>
      </c>
      <c r="G5" s="13">
        <f t="shared" si="0"/>
        <v>-0.17241379310344848</v>
      </c>
      <c r="H5" s="4" t="str">
        <f t="shared" si="1"/>
        <v>0~1 범위에서 1·2위 역전 없음</v>
      </c>
    </row>
    <row r="6" spans="1:8" x14ac:dyDescent="0.45">
      <c r="A6" s="9" t="str">
        <f>지표·가중치!A6</f>
        <v>I5</v>
      </c>
      <c r="B6" s="12">
        <f>지표·가중치!F6</f>
        <v>0.2</v>
      </c>
      <c r="C6" s="11">
        <f>INDEX(채점·총점!$C6:$E6,MATCH(1,채점·총점!$C$9:$E$9,0))</f>
        <v>4</v>
      </c>
      <c r="D6" s="11">
        <f>INDEX(채점·총점!$C6:$E6,MATCH(2,채점·총점!$C$9:$E$9,0))</f>
        <v>3</v>
      </c>
      <c r="E6" s="13">
        <f>(INDEX(채점·총점!$C$8:$E$8,MATCH(1,채점·총점!$C$9:$E$9,0))-B6*C6)/(1-B6)</f>
        <v>4.25</v>
      </c>
      <c r="F6" s="13">
        <f>(INDEX(채점·총점!$C$8:$E$8,MATCH(2,채점·총점!$C$9:$E$9,0))-B6*D6)/(1-B6)</f>
        <v>3.8125</v>
      </c>
      <c r="G6" s="13">
        <f t="shared" si="0"/>
        <v>-0.77777777777777779</v>
      </c>
      <c r="H6" s="4" t="str">
        <f t="shared" si="1"/>
        <v>0~1 범위에서 1·2위 역전 없음</v>
      </c>
    </row>
    <row r="7" spans="1:8" x14ac:dyDescent="0.45">
      <c r="A7" s="9" t="str">
        <f>지표·가중치!A7</f>
        <v>I6</v>
      </c>
      <c r="B7" s="12">
        <f>지표·가중치!F7</f>
        <v>0.2</v>
      </c>
      <c r="C7" s="11">
        <f>INDEX(채점·총점!$C7:$E7,MATCH(1,채점·총점!$C$9:$E$9,0))</f>
        <v>5</v>
      </c>
      <c r="D7" s="11">
        <f>INDEX(채점·총점!$C7:$E7,MATCH(2,채점·총점!$C$9:$E$9,0))</f>
        <v>4</v>
      </c>
      <c r="E7" s="13">
        <f>(INDEX(채점·총점!$C$8:$E$8,MATCH(1,채점·총점!$C$9:$E$9,0))-B7*C7)/(1-B7)</f>
        <v>4</v>
      </c>
      <c r="F7" s="13">
        <f>(INDEX(채점·총점!$C$8:$E$8,MATCH(2,채점·총점!$C$9:$E$9,0))-B7*D7)/(1-B7)</f>
        <v>3.5625000000000004</v>
      </c>
      <c r="G7" s="13">
        <f t="shared" si="0"/>
        <v>-0.77777777777777635</v>
      </c>
      <c r="H7" s="4" t="str">
        <f t="shared" si="1"/>
        <v>0~1 범위에서 1·2위 역전 없음</v>
      </c>
    </row>
    <row r="9" spans="1:8" ht="252" x14ac:dyDescent="0.45">
      <c r="A9" s="4" t="s">
        <v>74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7" x14ac:dyDescent="0.45"/>
  <cols>
    <col min="1" max="2" width="16" customWidth="1"/>
    <col min="3" max="4" width="10" customWidth="1"/>
  </cols>
  <sheetData>
    <row r="1" spans="1:4" x14ac:dyDescent="0.45">
      <c r="A1" s="3" t="s">
        <v>64</v>
      </c>
      <c r="B1" s="3" t="s">
        <v>75</v>
      </c>
      <c r="C1" s="3" t="s">
        <v>76</v>
      </c>
      <c r="D1" s="3" t="s">
        <v>77</v>
      </c>
    </row>
    <row r="2" spans="1:4" x14ac:dyDescent="0.45">
      <c r="A2" s="4" t="s">
        <v>49</v>
      </c>
      <c r="B2" s="4" t="s">
        <v>78</v>
      </c>
      <c r="C2" s="14">
        <v>17.73</v>
      </c>
      <c r="D2" s="8">
        <v>35.1</v>
      </c>
    </row>
    <row r="3" spans="1:4" x14ac:dyDescent="0.45">
      <c r="A3" s="4" t="s">
        <v>49</v>
      </c>
      <c r="B3" s="4" t="s">
        <v>79</v>
      </c>
      <c r="C3" s="14">
        <v>10.71</v>
      </c>
      <c r="D3" s="8">
        <v>21.2</v>
      </c>
    </row>
    <row r="4" spans="1:4" x14ac:dyDescent="0.45">
      <c r="A4" s="4" t="s">
        <v>49</v>
      </c>
      <c r="B4" s="4" t="s">
        <v>80</v>
      </c>
      <c r="C4" s="14">
        <v>0</v>
      </c>
      <c r="D4" s="8">
        <v>0</v>
      </c>
    </row>
    <row r="5" spans="1:4" x14ac:dyDescent="0.45">
      <c r="A5" s="4" t="s">
        <v>49</v>
      </c>
      <c r="B5" s="4" t="s">
        <v>81</v>
      </c>
      <c r="C5" s="14">
        <v>1.8</v>
      </c>
      <c r="D5" s="8">
        <v>3.6</v>
      </c>
    </row>
    <row r="6" spans="1:4" x14ac:dyDescent="0.45">
      <c r="A6" s="4" t="s">
        <v>49</v>
      </c>
      <c r="B6" s="4" t="s">
        <v>82</v>
      </c>
      <c r="C6" s="14">
        <v>20.25</v>
      </c>
      <c r="D6" s="8">
        <v>40.1</v>
      </c>
    </row>
    <row r="7" spans="1:4" x14ac:dyDescent="0.45">
      <c r="A7" s="4" t="s">
        <v>50</v>
      </c>
      <c r="B7" s="4" t="s">
        <v>78</v>
      </c>
      <c r="C7" s="14">
        <v>17.73</v>
      </c>
      <c r="D7" s="8">
        <v>35.1</v>
      </c>
    </row>
    <row r="8" spans="1:4" x14ac:dyDescent="0.45">
      <c r="A8" s="4" t="s">
        <v>50</v>
      </c>
      <c r="B8" s="4" t="s">
        <v>79</v>
      </c>
      <c r="C8" s="14">
        <v>10.71</v>
      </c>
      <c r="D8" s="8">
        <v>21.2</v>
      </c>
    </row>
    <row r="9" spans="1:4" x14ac:dyDescent="0.45">
      <c r="A9" s="4" t="s">
        <v>50</v>
      </c>
      <c r="B9" s="4" t="s">
        <v>80</v>
      </c>
      <c r="C9" s="14">
        <v>3.51</v>
      </c>
      <c r="D9" s="8">
        <v>7</v>
      </c>
    </row>
    <row r="10" spans="1:4" x14ac:dyDescent="0.45">
      <c r="A10" s="4" t="s">
        <v>50</v>
      </c>
      <c r="B10" s="4" t="s">
        <v>81</v>
      </c>
      <c r="C10" s="14">
        <v>4.59</v>
      </c>
      <c r="D10" s="8">
        <v>9.1</v>
      </c>
    </row>
    <row r="11" spans="1:4" x14ac:dyDescent="0.45">
      <c r="A11" s="4" t="s">
        <v>50</v>
      </c>
      <c r="B11" s="4" t="s">
        <v>82</v>
      </c>
      <c r="C11" s="14">
        <v>13.95</v>
      </c>
      <c r="D11" s="8">
        <v>27.6</v>
      </c>
    </row>
    <row r="12" spans="1:4" x14ac:dyDescent="0.45">
      <c r="A12" s="4" t="s">
        <v>51</v>
      </c>
      <c r="B12" s="4" t="s">
        <v>78</v>
      </c>
      <c r="C12" s="14">
        <v>17.73</v>
      </c>
      <c r="D12" s="8">
        <v>35.1</v>
      </c>
    </row>
    <row r="13" spans="1:4" x14ac:dyDescent="0.45">
      <c r="A13" s="4" t="s">
        <v>51</v>
      </c>
      <c r="B13" s="4" t="s">
        <v>79</v>
      </c>
      <c r="C13" s="14">
        <v>10.71</v>
      </c>
      <c r="D13" s="8">
        <v>21.2</v>
      </c>
    </row>
    <row r="14" spans="1:4" x14ac:dyDescent="0.45">
      <c r="A14" s="4" t="s">
        <v>51</v>
      </c>
      <c r="B14" s="4" t="s">
        <v>80</v>
      </c>
      <c r="C14" s="14">
        <v>0.18</v>
      </c>
      <c r="D14" s="8">
        <v>0.4</v>
      </c>
    </row>
    <row r="15" spans="1:4" x14ac:dyDescent="0.45">
      <c r="A15" s="4" t="s">
        <v>51</v>
      </c>
      <c r="B15" s="4" t="s">
        <v>81</v>
      </c>
      <c r="C15" s="14">
        <v>1.8</v>
      </c>
      <c r="D15" s="8">
        <v>3.6</v>
      </c>
    </row>
    <row r="16" spans="1:4" x14ac:dyDescent="0.45">
      <c r="A16" s="4" t="s">
        <v>51</v>
      </c>
      <c r="B16" s="4" t="s">
        <v>82</v>
      </c>
      <c r="C16" s="14">
        <v>20.07</v>
      </c>
      <c r="D16" s="8">
        <v>39.799999999999997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/>
  </sheetViews>
  <sheetFormatPr defaultRowHeight="17" x14ac:dyDescent="0.45"/>
  <cols>
    <col min="1" max="1" width="10" customWidth="1"/>
    <col min="2" max="2" width="12" customWidth="1"/>
    <col min="3" max="3" width="14" customWidth="1"/>
    <col min="4" max="4" width="18" customWidth="1"/>
    <col min="5" max="5" width="12" customWidth="1"/>
    <col min="6" max="6" width="22" customWidth="1"/>
    <col min="7" max="7" width="26" customWidth="1"/>
    <col min="8" max="8" width="40" customWidth="1"/>
    <col min="9" max="9" width="24" customWidth="1"/>
    <col min="10" max="10" width="12" customWidth="1"/>
  </cols>
  <sheetData>
    <row r="1" spans="1:10" ht="28" x14ac:dyDescent="0.45">
      <c r="A1" s="3" t="s">
        <v>83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3" t="s">
        <v>92</v>
      </c>
    </row>
    <row r="2" spans="1:10" ht="28" x14ac:dyDescent="0.45">
      <c r="A2" s="4" t="s">
        <v>93</v>
      </c>
      <c r="B2" s="4" t="s">
        <v>94</v>
      </c>
      <c r="C2" s="8">
        <v>33.700000000000003</v>
      </c>
      <c r="D2" s="8">
        <v>16.2</v>
      </c>
      <c r="E2" s="8">
        <v>8.19</v>
      </c>
      <c r="F2" s="4" t="s">
        <v>95</v>
      </c>
      <c r="G2" s="4" t="s">
        <v>96</v>
      </c>
      <c r="H2" s="4" t="s">
        <v>97</v>
      </c>
      <c r="I2" s="4" t="s">
        <v>98</v>
      </c>
      <c r="J2" s="4" t="s">
        <v>99</v>
      </c>
    </row>
    <row r="3" spans="1:10" ht="28" x14ac:dyDescent="0.45">
      <c r="A3" s="4" t="s">
        <v>93</v>
      </c>
      <c r="B3" s="4" t="s">
        <v>100</v>
      </c>
      <c r="C3" s="8">
        <v>48.1</v>
      </c>
      <c r="D3" s="8">
        <v>20.100000000000001</v>
      </c>
      <c r="E3" s="8">
        <v>10.17</v>
      </c>
      <c r="F3" s="4" t="s">
        <v>95</v>
      </c>
      <c r="G3" s="4" t="s">
        <v>96</v>
      </c>
      <c r="H3" s="4" t="s">
        <v>97</v>
      </c>
      <c r="I3" s="4" t="s">
        <v>98</v>
      </c>
      <c r="J3" s="4" t="s">
        <v>99</v>
      </c>
    </row>
    <row r="4" spans="1:10" ht="28" x14ac:dyDescent="0.45">
      <c r="A4" s="4" t="s">
        <v>93</v>
      </c>
      <c r="B4" s="4" t="s">
        <v>101</v>
      </c>
      <c r="C4" s="8">
        <v>75.400000000000006</v>
      </c>
      <c r="D4" s="8">
        <v>25.8</v>
      </c>
      <c r="E4" s="8">
        <v>13.05</v>
      </c>
      <c r="F4" s="4" t="s">
        <v>95</v>
      </c>
      <c r="G4" s="4" t="s">
        <v>96</v>
      </c>
      <c r="H4" s="4" t="s">
        <v>97</v>
      </c>
      <c r="I4" s="4" t="s">
        <v>98</v>
      </c>
      <c r="J4" s="4" t="s">
        <v>99</v>
      </c>
    </row>
    <row r="5" spans="1:10" ht="28" x14ac:dyDescent="0.45">
      <c r="A5" s="4" t="s">
        <v>102</v>
      </c>
      <c r="B5" s="4" t="s">
        <v>94</v>
      </c>
      <c r="C5" s="8">
        <v>94.8</v>
      </c>
      <c r="D5" s="8">
        <v>28</v>
      </c>
      <c r="E5" s="8">
        <v>14.13</v>
      </c>
      <c r="F5" s="4" t="s">
        <v>95</v>
      </c>
      <c r="G5" s="4" t="s">
        <v>103</v>
      </c>
      <c r="H5" s="4" t="s">
        <v>97</v>
      </c>
      <c r="I5" s="4" t="s">
        <v>98</v>
      </c>
      <c r="J5" s="4" t="s">
        <v>99</v>
      </c>
    </row>
    <row r="6" spans="1:10" ht="28" x14ac:dyDescent="0.45">
      <c r="A6" s="4" t="s">
        <v>102</v>
      </c>
      <c r="B6" s="4" t="s">
        <v>100</v>
      </c>
      <c r="C6" s="8">
        <v>100</v>
      </c>
      <c r="D6" s="8">
        <v>31.2</v>
      </c>
      <c r="E6" s="8">
        <v>15.75</v>
      </c>
      <c r="F6" s="4" t="s">
        <v>95</v>
      </c>
      <c r="G6" s="4" t="s">
        <v>103</v>
      </c>
      <c r="H6" s="4" t="s">
        <v>97</v>
      </c>
      <c r="I6" s="4" t="s">
        <v>98</v>
      </c>
      <c r="J6" s="4" t="s">
        <v>99</v>
      </c>
    </row>
    <row r="7" spans="1:10" ht="28" x14ac:dyDescent="0.45">
      <c r="A7" s="4" t="s">
        <v>102</v>
      </c>
      <c r="B7" s="4" t="s">
        <v>101</v>
      </c>
      <c r="C7" s="8">
        <v>100</v>
      </c>
      <c r="D7" s="8">
        <v>31.2</v>
      </c>
      <c r="E7" s="8">
        <v>15.75</v>
      </c>
      <c r="F7" s="4" t="s">
        <v>95</v>
      </c>
      <c r="G7" s="4" t="s">
        <v>103</v>
      </c>
      <c r="H7" s="4" t="s">
        <v>97</v>
      </c>
      <c r="I7" s="4" t="s">
        <v>98</v>
      </c>
      <c r="J7" s="4" t="s">
        <v>99</v>
      </c>
    </row>
  </sheetData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workbookViewId="0"/>
  </sheetViews>
  <sheetFormatPr defaultRowHeight="17" x14ac:dyDescent="0.45"/>
  <cols>
    <col min="1" max="1" width="9" customWidth="1"/>
    <col min="2" max="2" width="8" customWidth="1"/>
    <col min="3" max="3" width="40" customWidth="1"/>
    <col min="4" max="4" width="26" customWidth="1"/>
    <col min="5" max="5" width="22" customWidth="1"/>
    <col min="6" max="6" width="11" customWidth="1"/>
    <col min="7" max="7" width="9" customWidth="1"/>
    <col min="8" max="8" width="11" customWidth="1"/>
    <col min="9" max="9" width="9" customWidth="1"/>
    <col min="10" max="10" width="40" customWidth="1"/>
  </cols>
  <sheetData>
    <row r="1" spans="1:10" ht="28" x14ac:dyDescent="0.45">
      <c r="A1" s="3" t="s">
        <v>75</v>
      </c>
      <c r="B1" s="3" t="s">
        <v>104</v>
      </c>
      <c r="C1" s="3" t="s">
        <v>105</v>
      </c>
      <c r="D1" s="3" t="s">
        <v>13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</row>
    <row r="2" spans="1:10" ht="28" x14ac:dyDescent="0.45">
      <c r="A2" s="4" t="s">
        <v>78</v>
      </c>
      <c r="B2" s="4" t="s">
        <v>112</v>
      </c>
      <c r="C2" s="4" t="s">
        <v>113</v>
      </c>
      <c r="D2" s="4" t="s">
        <v>114</v>
      </c>
      <c r="E2" s="4" t="s">
        <v>115</v>
      </c>
      <c r="F2" s="15">
        <v>24.6</v>
      </c>
      <c r="G2" s="4" t="s">
        <v>116</v>
      </c>
      <c r="H2" s="15">
        <v>0</v>
      </c>
      <c r="I2" s="4" t="s">
        <v>117</v>
      </c>
      <c r="J2" s="4" t="s">
        <v>118</v>
      </c>
    </row>
    <row r="3" spans="1:10" ht="28" x14ac:dyDescent="0.45">
      <c r="A3" s="4" t="s">
        <v>78</v>
      </c>
      <c r="B3" s="4" t="s">
        <v>119</v>
      </c>
      <c r="C3" s="4" t="s">
        <v>120</v>
      </c>
      <c r="D3" s="4" t="s">
        <v>121</v>
      </c>
      <c r="E3" s="4" t="s">
        <v>122</v>
      </c>
      <c r="F3" s="15">
        <v>24.8</v>
      </c>
      <c r="G3" s="4" t="s">
        <v>116</v>
      </c>
      <c r="H3" s="15">
        <v>9.6</v>
      </c>
      <c r="I3" s="4" t="s">
        <v>116</v>
      </c>
      <c r="J3" s="4" t="s">
        <v>123</v>
      </c>
    </row>
    <row r="4" spans="1:10" ht="28" x14ac:dyDescent="0.45">
      <c r="A4" s="4" t="s">
        <v>78</v>
      </c>
      <c r="B4" s="4" t="s">
        <v>124</v>
      </c>
      <c r="C4" s="4" t="s">
        <v>125</v>
      </c>
      <c r="D4" s="4" t="s">
        <v>126</v>
      </c>
      <c r="E4" s="4" t="s">
        <v>127</v>
      </c>
      <c r="F4" s="15">
        <v>0.7</v>
      </c>
      <c r="G4" s="4" t="s">
        <v>116</v>
      </c>
      <c r="H4" s="15">
        <v>0.4</v>
      </c>
      <c r="I4" s="4" t="s">
        <v>116</v>
      </c>
      <c r="J4" s="4" t="s">
        <v>128</v>
      </c>
    </row>
    <row r="5" spans="1:10" ht="28" x14ac:dyDescent="0.45">
      <c r="A5" s="4" t="s">
        <v>78</v>
      </c>
      <c r="B5" s="4" t="s">
        <v>129</v>
      </c>
      <c r="C5" s="4" t="s">
        <v>130</v>
      </c>
      <c r="D5" s="4" t="s">
        <v>131</v>
      </c>
      <c r="E5" s="4" t="s">
        <v>132</v>
      </c>
      <c r="F5" s="15"/>
      <c r="G5" s="4" t="s">
        <v>133</v>
      </c>
      <c r="H5" s="15"/>
      <c r="I5" s="4" t="s">
        <v>133</v>
      </c>
      <c r="J5" s="4" t="s">
        <v>134</v>
      </c>
    </row>
    <row r="6" spans="1:10" x14ac:dyDescent="0.45">
      <c r="A6" s="4" t="s">
        <v>81</v>
      </c>
      <c r="B6" s="4" t="s">
        <v>112</v>
      </c>
      <c r="C6" s="4" t="s">
        <v>135</v>
      </c>
      <c r="D6" s="4" t="s">
        <v>136</v>
      </c>
      <c r="E6" s="4" t="s">
        <v>137</v>
      </c>
      <c r="F6" s="15">
        <v>15.2</v>
      </c>
      <c r="G6" s="4" t="s">
        <v>117</v>
      </c>
      <c r="H6" s="15">
        <v>64.900000000000006</v>
      </c>
      <c r="I6" s="4" t="s">
        <v>116</v>
      </c>
      <c r="J6" s="4" t="s">
        <v>138</v>
      </c>
    </row>
    <row r="7" spans="1:10" ht="28" x14ac:dyDescent="0.45">
      <c r="A7" s="4" t="s">
        <v>81</v>
      </c>
      <c r="B7" s="4" t="s">
        <v>119</v>
      </c>
      <c r="C7" s="4" t="s">
        <v>139</v>
      </c>
      <c r="D7" s="4" t="s">
        <v>140</v>
      </c>
      <c r="E7" s="4" t="s">
        <v>141</v>
      </c>
      <c r="F7" s="15">
        <v>426</v>
      </c>
      <c r="G7" s="4" t="s">
        <v>116</v>
      </c>
      <c r="H7" s="15">
        <v>291</v>
      </c>
      <c r="I7" s="4" t="s">
        <v>116</v>
      </c>
      <c r="J7" s="4" t="s">
        <v>142</v>
      </c>
    </row>
    <row r="8" spans="1:10" x14ac:dyDescent="0.45">
      <c r="A8" s="4" t="s">
        <v>81</v>
      </c>
      <c r="B8" s="4" t="s">
        <v>124</v>
      </c>
      <c r="C8" s="4" t="s">
        <v>143</v>
      </c>
      <c r="D8" s="4" t="s">
        <v>144</v>
      </c>
      <c r="E8" s="4" t="s">
        <v>122</v>
      </c>
      <c r="F8" s="15">
        <v>24.8</v>
      </c>
      <c r="G8" s="4" t="s">
        <v>116</v>
      </c>
      <c r="H8" s="15">
        <v>9.6</v>
      </c>
      <c r="I8" s="4" t="s">
        <v>116</v>
      </c>
      <c r="J8" s="4" t="s">
        <v>145</v>
      </c>
    </row>
    <row r="9" spans="1:10" x14ac:dyDescent="0.45">
      <c r="A9" s="4" t="s">
        <v>81</v>
      </c>
      <c r="B9" s="4" t="s">
        <v>129</v>
      </c>
      <c r="C9" s="4" t="s">
        <v>146</v>
      </c>
      <c r="D9" s="4" t="s">
        <v>147</v>
      </c>
      <c r="E9" s="4" t="s">
        <v>148</v>
      </c>
      <c r="F9" s="15">
        <v>90.6</v>
      </c>
      <c r="G9" s="4" t="s">
        <v>116</v>
      </c>
      <c r="H9" s="15">
        <v>3.7</v>
      </c>
      <c r="I9" s="4" t="s">
        <v>117</v>
      </c>
      <c r="J9" s="4" t="s">
        <v>149</v>
      </c>
    </row>
    <row r="10" spans="1:10" ht="28" x14ac:dyDescent="0.45">
      <c r="A10" s="4" t="s">
        <v>82</v>
      </c>
      <c r="B10" s="4" t="s">
        <v>112</v>
      </c>
      <c r="C10" s="4" t="s">
        <v>150</v>
      </c>
      <c r="D10" s="4" t="s">
        <v>151</v>
      </c>
      <c r="E10" s="4" t="s">
        <v>152</v>
      </c>
      <c r="F10" s="15">
        <v>33.700000000000003</v>
      </c>
      <c r="G10" s="4" t="s">
        <v>153</v>
      </c>
      <c r="H10" s="15">
        <v>94.8</v>
      </c>
      <c r="I10" s="4" t="s">
        <v>116</v>
      </c>
      <c r="J10" s="4" t="s">
        <v>154</v>
      </c>
    </row>
    <row r="11" spans="1:10" ht="28" x14ac:dyDescent="0.45">
      <c r="A11" s="4" t="s">
        <v>82</v>
      </c>
      <c r="B11" s="4" t="s">
        <v>119</v>
      </c>
      <c r="C11" s="4" t="s">
        <v>155</v>
      </c>
      <c r="D11" s="4" t="s">
        <v>156</v>
      </c>
      <c r="E11" s="4" t="s">
        <v>141</v>
      </c>
      <c r="F11" s="15">
        <v>426</v>
      </c>
      <c r="G11" s="4" t="s">
        <v>116</v>
      </c>
      <c r="H11" s="15">
        <v>291</v>
      </c>
      <c r="I11" s="4" t="s">
        <v>116</v>
      </c>
      <c r="J11" s="4" t="s">
        <v>157</v>
      </c>
    </row>
    <row r="12" spans="1:10" ht="28" x14ac:dyDescent="0.45">
      <c r="A12" s="4" t="s">
        <v>82</v>
      </c>
      <c r="B12" s="4" t="s">
        <v>124</v>
      </c>
      <c r="C12" s="4" t="s">
        <v>158</v>
      </c>
      <c r="D12" s="4" t="s">
        <v>156</v>
      </c>
      <c r="E12" s="4" t="s">
        <v>159</v>
      </c>
      <c r="F12" s="15">
        <v>34.6</v>
      </c>
      <c r="G12" s="4" t="s">
        <v>116</v>
      </c>
      <c r="H12" s="15">
        <v>31.2</v>
      </c>
      <c r="I12" s="4" t="s">
        <v>116</v>
      </c>
      <c r="J12" s="4" t="s">
        <v>160</v>
      </c>
    </row>
    <row r="13" spans="1:10" ht="28" x14ac:dyDescent="0.45">
      <c r="A13" s="4" t="s">
        <v>82</v>
      </c>
      <c r="B13" s="4" t="s">
        <v>129</v>
      </c>
      <c r="C13" s="4" t="s">
        <v>161</v>
      </c>
      <c r="D13" s="4" t="s">
        <v>156</v>
      </c>
      <c r="E13" s="4" t="s">
        <v>162</v>
      </c>
      <c r="F13" s="15">
        <v>14.6</v>
      </c>
      <c r="G13" s="4" t="s">
        <v>153</v>
      </c>
      <c r="H13" s="15">
        <v>34.6</v>
      </c>
      <c r="I13" s="4" t="s">
        <v>116</v>
      </c>
      <c r="J13" s="4" t="s">
        <v>163</v>
      </c>
    </row>
    <row r="14" spans="1:10" x14ac:dyDescent="0.45">
      <c r="A14" s="4" t="s">
        <v>80</v>
      </c>
      <c r="B14" s="4" t="s">
        <v>112</v>
      </c>
      <c r="C14" s="4" t="s">
        <v>164</v>
      </c>
      <c r="D14" s="4" t="s">
        <v>165</v>
      </c>
      <c r="E14" s="4" t="s">
        <v>137</v>
      </c>
      <c r="F14" s="15">
        <v>15.2</v>
      </c>
      <c r="G14" s="4" t="s">
        <v>117</v>
      </c>
      <c r="H14" s="15">
        <v>64.900000000000006</v>
      </c>
      <c r="I14" s="4" t="s">
        <v>116</v>
      </c>
      <c r="J14" s="4" t="s">
        <v>138</v>
      </c>
    </row>
    <row r="15" spans="1:10" x14ac:dyDescent="0.45">
      <c r="A15" s="4" t="s">
        <v>80</v>
      </c>
      <c r="B15" s="4" t="s">
        <v>119</v>
      </c>
      <c r="C15" s="4" t="s">
        <v>166</v>
      </c>
      <c r="D15" s="4" t="s">
        <v>167</v>
      </c>
      <c r="E15" s="4" t="s">
        <v>168</v>
      </c>
      <c r="F15" s="15">
        <v>37.799999999999997</v>
      </c>
      <c r="G15" s="4" t="s">
        <v>116</v>
      </c>
      <c r="H15" s="15">
        <v>65.099999999999994</v>
      </c>
      <c r="I15" s="4" t="s">
        <v>116</v>
      </c>
      <c r="J15" s="4" t="s">
        <v>169</v>
      </c>
    </row>
    <row r="16" spans="1:10" ht="28" x14ac:dyDescent="0.45">
      <c r="A16" s="4" t="s">
        <v>80</v>
      </c>
      <c r="B16" s="4" t="s">
        <v>124</v>
      </c>
      <c r="C16" s="4" t="s">
        <v>170</v>
      </c>
      <c r="D16" s="4" t="s">
        <v>171</v>
      </c>
      <c r="E16" s="4" t="s">
        <v>172</v>
      </c>
      <c r="F16" s="15" t="s">
        <v>173</v>
      </c>
      <c r="G16" s="4" t="s">
        <v>117</v>
      </c>
      <c r="H16" s="15" t="s">
        <v>174</v>
      </c>
      <c r="I16" s="4" t="s">
        <v>116</v>
      </c>
      <c r="J16" s="4" t="s">
        <v>175</v>
      </c>
    </row>
    <row r="17" spans="1:10" ht="28" x14ac:dyDescent="0.45">
      <c r="A17" s="4" t="s">
        <v>80</v>
      </c>
      <c r="B17" s="4" t="s">
        <v>129</v>
      </c>
      <c r="C17" s="4" t="s">
        <v>176</v>
      </c>
      <c r="D17" s="4" t="s">
        <v>177</v>
      </c>
      <c r="E17" s="4" t="s">
        <v>178</v>
      </c>
      <c r="F17" s="15"/>
      <c r="G17" s="4" t="s">
        <v>179</v>
      </c>
      <c r="H17" s="15"/>
      <c r="I17" s="4" t="s">
        <v>179</v>
      </c>
      <c r="J17" s="4" t="s">
        <v>180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읽어보기</vt:lpstr>
      <vt:lpstr>지표·가중치</vt:lpstr>
      <vt:lpstr>지표값</vt:lpstr>
      <vt:lpstr>채점·총점</vt:lpstr>
      <vt:lpstr>역전점</vt:lpstr>
      <vt:lpstr>배분 3안</vt:lpstr>
      <vt:lpstr>지표6</vt:lpstr>
      <vt:lpstr>4축표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명원 최</cp:lastModifiedBy>
  <dcterms:created xsi:type="dcterms:W3CDTF">2026-10-12T06:58:28Z</dcterms:created>
  <dcterms:modified xsi:type="dcterms:W3CDTF">2026-10-12T06:58:42Z</dcterms:modified>
</cp:coreProperties>
</file>